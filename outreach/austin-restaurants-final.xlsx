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New folder\Projects\PlainFinance\outreach\"/>
    </mc:Choice>
  </mc:AlternateContent>
  <xr:revisionPtr revIDLastSave="0" documentId="13_ncr:1_{43097005-125A-4CA5-8EE2-02DD28F66865}" xr6:coauthVersionLast="47" xr6:coauthVersionMax="47" xr10:uidLastSave="{00000000-0000-0000-0000-000000000000}"/>
  <bookViews>
    <workbookView xWindow="768" yWindow="720" windowWidth="21180" windowHeight="12240" xr2:uid="{A0CC3FDC-6DEE-4192-AF4B-8AD84CE48088}"/>
  </bookViews>
  <sheets>
    <sheet name="austin-restaurants-final" sheetId="1" r:id="rId1"/>
  </sheets>
  <externalReferences>
    <externalReference r:id="rId2"/>
  </externalReferences>
  <definedNames>
    <definedName name="_xlnm._FilterDatabase" localSheetId="0" hidden="1">'austin-restaurants-final'!$A$1:$E$93</definedName>
  </definedNames>
  <calcPr calcId="191029"/>
</workbook>
</file>

<file path=xl/calcChain.xml><?xml version="1.0" encoding="utf-8"?>
<calcChain xmlns="http://schemas.openxmlformats.org/spreadsheetml/2006/main">
  <c r="E93" i="1" l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<sst xmlns="http://schemas.openxmlformats.org/spreadsheetml/2006/main" count="304" uniqueCount="303">
  <si>
    <t>Restaurant Name</t>
  </si>
  <si>
    <t>Owner/Manager Name</t>
  </si>
  <si>
    <t>Email</t>
  </si>
  <si>
    <t>Website URL</t>
  </si>
  <si>
    <t xml:space="preserve">batch one </t>
  </si>
  <si>
    <t>24 Diner</t>
  </si>
  <si>
    <t>info@24diner.com</t>
  </si>
  <si>
    <t>https://www.24diner.com</t>
  </si>
  <si>
    <t>Ararat Mid-East Fusion</t>
  </si>
  <si>
    <t>orders@araratfusion.com</t>
  </si>
  <si>
    <t>https://araratfusion.com</t>
  </si>
  <si>
    <t>Baldinucci Pizza</t>
  </si>
  <si>
    <t>hello@baldinucci.pizza</t>
  </si>
  <si>
    <t>https://www.baldinucci.pizza</t>
  </si>
  <si>
    <t>Barley Swine</t>
  </si>
  <si>
    <t>Bryce Gilmore</t>
  </si>
  <si>
    <t>info@barleyswine.com</t>
  </si>
  <si>
    <t>https://www.barleyswine.com</t>
  </si>
  <si>
    <t>Bartlett's</t>
  </si>
  <si>
    <t>bartletts@bartlettsaustin.com</t>
  </si>
  <si>
    <t>https://bartlettsaustin.com</t>
  </si>
  <si>
    <t>Bento Picnic</t>
  </si>
  <si>
    <t>hello@bentopicnic.com</t>
  </si>
  <si>
    <t>https://www.bentopicnic.com</t>
  </si>
  <si>
    <t>Bill's Oyster</t>
  </si>
  <si>
    <t>Stewart Jarmon &amp; Daniel Berg</t>
  </si>
  <si>
    <t>hello@billsoyster.com</t>
  </si>
  <si>
    <t>https://www.billsoyster.com</t>
  </si>
  <si>
    <t>Bombay Bistro</t>
  </si>
  <si>
    <t>bombaysham@yahoo.com</t>
  </si>
  <si>
    <t>https://www.bombaybistro.com</t>
  </si>
  <si>
    <t>Bouldin Creek Cafe</t>
  </si>
  <si>
    <t>Woman-owned</t>
  </si>
  <si>
    <t>info@bouldincreek.com</t>
  </si>
  <si>
    <t>https://bouldincreekcafe.com</t>
  </si>
  <si>
    <t>Bufalina</t>
  </si>
  <si>
    <t>info@bufalinapizza.com</t>
  </si>
  <si>
    <t>https://www.bufalinapizza.com</t>
  </si>
  <si>
    <t>Caspian Grill</t>
  </si>
  <si>
    <t>ghaffari78731@gmail.com</t>
  </si>
  <si>
    <t>https://caspiangrillaustin.com</t>
  </si>
  <si>
    <t>Chi'Lantro</t>
  </si>
  <si>
    <t>Jae Kim</t>
  </si>
  <si>
    <t>team@chilantrobbq.com</t>
  </si>
  <si>
    <t>https://www.chilantrobbq.com</t>
  </si>
  <si>
    <t>Curra's Grill</t>
  </si>
  <si>
    <t>currasapple@gmail.com</t>
  </si>
  <si>
    <t>https://currasgrill.com</t>
  </si>
  <si>
    <t>Dai Due</t>
  </si>
  <si>
    <t>party@daidue.com</t>
  </si>
  <si>
    <t>https://www.daidue.com</t>
  </si>
  <si>
    <t>De Nada Cantina</t>
  </si>
  <si>
    <t>hablar@denadacantina.com</t>
  </si>
  <si>
    <t>https://www.denadacantina.com</t>
  </si>
  <si>
    <t>Dee Dee</t>
  </si>
  <si>
    <t>Justin &amp; Lakana Trubiana</t>
  </si>
  <si>
    <t>info@deedeeatx.com</t>
  </si>
  <si>
    <t>https://www.deedeeatx.com</t>
  </si>
  <si>
    <t>DK Maria's</t>
  </si>
  <si>
    <t>info@dkmarias.com</t>
  </si>
  <si>
    <t>https://dkmarias.com</t>
  </si>
  <si>
    <t>Dong Nai</t>
  </si>
  <si>
    <t>Steven Pham</t>
  </si>
  <si>
    <t>pham.steven5196@gmail.com</t>
  </si>
  <si>
    <t>https://dongnaiaustin.com</t>
  </si>
  <si>
    <t>Down South Cajun Eats</t>
  </si>
  <si>
    <t>info@cajjuneats.com</t>
  </si>
  <si>
    <t>https://cajjuneats.com</t>
  </si>
  <si>
    <t>Eberly</t>
  </si>
  <si>
    <t>info@eberlyaustin.com</t>
  </si>
  <si>
    <t>https://www.eberlyaustin.com</t>
  </si>
  <si>
    <t>El Mercado</t>
  </si>
  <si>
    <t>north@elmercadorestaurant.com</t>
  </si>
  <si>
    <t>https://elmercadorestaurant.com</t>
  </si>
  <si>
    <t>Eldorado Cafe</t>
  </si>
  <si>
    <t>info@eldoradocafeatx.com</t>
  </si>
  <si>
    <t>https://www.eldoradocafeatx.com</t>
  </si>
  <si>
    <t>Este</t>
  </si>
  <si>
    <t>hola@esteatx.com</t>
  </si>
  <si>
    <t>https://www.esteatx.com</t>
  </si>
  <si>
    <t>EurAsia Ramen</t>
  </si>
  <si>
    <t>eurasiaramen@gmail.com</t>
  </si>
  <si>
    <t>https://www.eurasiasushiaustin.com</t>
  </si>
  <si>
    <t>Ezov</t>
  </si>
  <si>
    <t>info@ezovatx.com</t>
  </si>
  <si>
    <t>https://ezovatx.com</t>
  </si>
  <si>
    <t>Fabrik</t>
  </si>
  <si>
    <t>contact@fabrikatx.com</t>
  </si>
  <si>
    <t>https://www.fabrikatx.com</t>
  </si>
  <si>
    <t>Fat Dragon</t>
  </si>
  <si>
    <t>fatdragonatx@gmail.com</t>
  </si>
  <si>
    <t>https://www.fatdragonatx.com</t>
  </si>
  <si>
    <t>Fixe Southern House</t>
  </si>
  <si>
    <t>Keith</t>
  </si>
  <si>
    <t>keith@austinfixe.com</t>
  </si>
  <si>
    <t>https://www.fixesouthernhouse.com</t>
  </si>
  <si>
    <t>Fonda San Miguel</t>
  </si>
  <si>
    <t>Tom Gilliland &amp; Miguel Ravago</t>
  </si>
  <si>
    <t>events@fondasanmiguel.com</t>
  </si>
  <si>
    <t>https://www.fondasanmiguel.com</t>
  </si>
  <si>
    <t>FoodHeads</t>
  </si>
  <si>
    <t>eat@foodheads.com</t>
  </si>
  <si>
    <t>https://www.foodheads.com</t>
  </si>
  <si>
    <t>Fresa's</t>
  </si>
  <si>
    <t>Local Austin</t>
  </si>
  <si>
    <t>hi@fresaschicken.com</t>
  </si>
  <si>
    <t>https://www.fresaschicken.com</t>
  </si>
  <si>
    <t>Fukumoto</t>
  </si>
  <si>
    <t>eat@fukumotoaustin.com</t>
  </si>
  <si>
    <t>https://www.fukumotoaustin.com</t>
  </si>
  <si>
    <t>Granny's Tacos</t>
  </si>
  <si>
    <t>grannystacos@gmail.com</t>
  </si>
  <si>
    <t>https://www.grannystacosatx.com</t>
  </si>
  <si>
    <t>Greater Goods Coffee</t>
  </si>
  <si>
    <t>hello@ggroasting.com</t>
  </si>
  <si>
    <t>https://greatergoodsroasting.com</t>
  </si>
  <si>
    <t>Guero's Taco Bar</t>
  </si>
  <si>
    <t>info@gueros.com</t>
  </si>
  <si>
    <t>https://www.guerostacobar.com</t>
  </si>
  <si>
    <t>Habesha Ethiopian</t>
  </si>
  <si>
    <t>yidfantu@gmail.com</t>
  </si>
  <si>
    <t>https://habeshaaustin.com</t>
  </si>
  <si>
    <t>Hestia</t>
  </si>
  <si>
    <t>Kevin Fink &amp; Tavel Bristol-Joseph</t>
  </si>
  <si>
    <t>info@hestiaaustin.com</t>
  </si>
  <si>
    <t>https://hestiaaustin.com</t>
  </si>
  <si>
    <t>Hillside Farmacy</t>
  </si>
  <si>
    <t>info@hillsidefarmacy.com</t>
  </si>
  <si>
    <t>https://www.hillsidefarmacy.com</t>
  </si>
  <si>
    <t>Home Slice Pizza</t>
  </si>
  <si>
    <t>donations@homeslicepizza.com</t>
  </si>
  <si>
    <t>https://homeslicepizza.com</t>
  </si>
  <si>
    <t>Hoover's Cooking</t>
  </si>
  <si>
    <t>Hoover Alexander</t>
  </si>
  <si>
    <t>howdy@hooverscooking.com</t>
  </si>
  <si>
    <t>https://www.hooverscooking.com</t>
  </si>
  <si>
    <t>InterStellar BBQ</t>
  </si>
  <si>
    <t>interstellarbbq@gmail.com</t>
  </si>
  <si>
    <t>https://www.theinterstellarbbq.com</t>
  </si>
  <si>
    <t>Jeffrey's</t>
  </si>
  <si>
    <t>events@jeffreysofaustin.com</t>
  </si>
  <si>
    <t>https://jeffreysofaustin.com</t>
  </si>
  <si>
    <t>Juan in a Million</t>
  </si>
  <si>
    <t>Juan Meza</t>
  </si>
  <si>
    <t>juaninamil@gmail.com</t>
  </si>
  <si>
    <t>https://juaninamillion.com</t>
  </si>
  <si>
    <t>Juliet</t>
  </si>
  <si>
    <t>events@juliet-austin.com</t>
  </si>
  <si>
    <t>https://juliet-austin.com</t>
  </si>
  <si>
    <t>June's All Day</t>
  </si>
  <si>
    <t>info@junesallday.com</t>
  </si>
  <si>
    <t>https://junesallday.com</t>
  </si>
  <si>
    <t>Justine's Brasserie</t>
  </si>
  <si>
    <t>info@justines1937.com</t>
  </si>
  <si>
    <t>https://justines1937.com</t>
  </si>
  <si>
    <t>Kemuri Tatsu-ya</t>
  </si>
  <si>
    <t>kemuri@tatsu-ya.com</t>
  </si>
  <si>
    <t>https://kemuri-tatsuya.com</t>
  </si>
  <si>
    <t>Kerbey Lane Cafe</t>
  </si>
  <si>
    <t>Mason Family</t>
  </si>
  <si>
    <t>parentbreakfast@kerbeylanecafe.com</t>
  </si>
  <si>
    <t>https://kerbeylanecafe.com</t>
  </si>
  <si>
    <t>Kerlin BBQ</t>
  </si>
  <si>
    <t>Bill Kerlin</t>
  </si>
  <si>
    <t>contact@kerlinbbq.com</t>
  </si>
  <si>
    <t>https://kerlinbbq.com</t>
  </si>
  <si>
    <t>Korea House</t>
  </si>
  <si>
    <t>koreahouseatx@gmail.com</t>
  </si>
  <si>
    <t>https://www.koreahouseaustin.com</t>
  </si>
  <si>
    <t>La Condesa</t>
  </si>
  <si>
    <t>info@lacondesa.com</t>
  </si>
  <si>
    <t>https://lacondesa.com</t>
  </si>
  <si>
    <t>Lamberts</t>
  </si>
  <si>
    <t>info@lambertsaustin.com</t>
  </si>
  <si>
    <t>https://lambertsaustin.com</t>
  </si>
  <si>
    <t>Las Lomas</t>
  </si>
  <si>
    <t>laslomas45@gmail.com</t>
  </si>
  <si>
    <t>https://laslomastexmex.com</t>
  </si>
  <si>
    <t>Launderette</t>
  </si>
  <si>
    <t>events@launderetteaustin.com</t>
  </si>
  <si>
    <t>https://www.launderetteaustin.com</t>
  </si>
  <si>
    <t>Lenoir</t>
  </si>
  <si>
    <t>Todd Duplechan &amp; Jessica Maher</t>
  </si>
  <si>
    <t>lenoir.restaurant@gmail.com</t>
  </si>
  <si>
    <t>https://www.lenoirrestaurant.com</t>
  </si>
  <si>
    <t>LeRoy and Lewis</t>
  </si>
  <si>
    <t>howdy@leroyandlewis.com</t>
  </si>
  <si>
    <t>https://leroyandlewisbbq.com</t>
  </si>
  <si>
    <t>Licha's Cantina</t>
  </si>
  <si>
    <t>lichas.info@gmail.com</t>
  </si>
  <si>
    <t>https://www.lichascantina.com</t>
  </si>
  <si>
    <t>Maie Day</t>
  </si>
  <si>
    <t>communications-maieday@southcongresshotel.com</t>
  </si>
  <si>
    <t>https://www.maieday.com</t>
  </si>
  <si>
    <t>Mama Jambalaya</t>
  </si>
  <si>
    <t>New Orleans family</t>
  </si>
  <si>
    <t>info@mamajambalaya.com</t>
  </si>
  <si>
    <t>https://mamajambalaya.com</t>
  </si>
  <si>
    <t>Mandola's Italian</t>
  </si>
  <si>
    <t>office@mandolas.com</t>
  </si>
  <si>
    <t>https://www.mandolas.com</t>
  </si>
  <si>
    <t>Mario's Seafood</t>
  </si>
  <si>
    <t>Mario Sorto</t>
  </si>
  <si>
    <t>adriana@marioseafood.com</t>
  </si>
  <si>
    <t>https://marioseafood.com</t>
  </si>
  <si>
    <t>Maudie's</t>
  </si>
  <si>
    <t>catering@maudies.com</t>
  </si>
  <si>
    <t>https://www.maudies.com</t>
  </si>
  <si>
    <t>Micklethwait</t>
  </si>
  <si>
    <t>team@craftmeatsaustin.com</t>
  </si>
  <si>
    <t>https://craftmeatsaustin.com</t>
  </si>
  <si>
    <t>Mozart's Coffee</t>
  </si>
  <si>
    <t>customerservice@mozartscoffee.com</t>
  </si>
  <si>
    <t>https://mozartscoffee.com</t>
  </si>
  <si>
    <t>Nixta Taqueria</t>
  </si>
  <si>
    <t>Edgar Rico &amp; Sara Mardanbigi</t>
  </si>
  <si>
    <t>hola@nixtataqueria.com</t>
  </si>
  <si>
    <t>https://www.nixtataqueria.com</t>
  </si>
  <si>
    <t>Odd Duck</t>
  </si>
  <si>
    <t>foh@oddduckaustin.com</t>
  </si>
  <si>
    <t>https://www.oddduckaustin.com</t>
  </si>
  <si>
    <t>Olamaie</t>
  </si>
  <si>
    <t>reservations@olamaieaustin.com</t>
  </si>
  <si>
    <t>https://www.olamaieaustin.com</t>
  </si>
  <si>
    <t>Otherside Deli</t>
  </si>
  <si>
    <t>othersidedeliatx@gmail.com</t>
  </si>
  <si>
    <t>https://www.othersidedeliatx.com</t>
  </si>
  <si>
    <t>Paperboy</t>
  </si>
  <si>
    <t>reservations@paperboyaustin.com</t>
  </si>
  <si>
    <t>https://www.paperboyaustin.com</t>
  </si>
  <si>
    <t>Parkside</t>
  </si>
  <si>
    <t>Shawn Cirkiel</t>
  </si>
  <si>
    <t>info@parkside-austin.com</t>
  </si>
  <si>
    <t>https://www.parkside-austin.com</t>
  </si>
  <si>
    <t>Pelon's Tex-Mex</t>
  </si>
  <si>
    <t>pelons.508@pelonstexmex.com</t>
  </si>
  <si>
    <t>https://www.pelonstexmex.com</t>
  </si>
  <si>
    <t>Perla's</t>
  </si>
  <si>
    <t>Larry McGuire &amp; Tom Moorman</t>
  </si>
  <si>
    <t>events@perlasaustin.com</t>
  </si>
  <si>
    <t>https://perlasaustin.com</t>
  </si>
  <si>
    <t>Pho Thaison</t>
  </si>
  <si>
    <t>phothaisonaustin@gmail.com</t>
  </si>
  <si>
    <t>https://phothaison.com</t>
  </si>
  <si>
    <t>Quack's Bakery</t>
  </si>
  <si>
    <t>bakery@quacksbakery.com</t>
  </si>
  <si>
    <t>https://www.quacksbakery.com</t>
  </si>
  <si>
    <t>Quality Seafood</t>
  </si>
  <si>
    <t>info@qualityseafoodmarket.com</t>
  </si>
  <si>
    <t>https://qualityseafoodmarket.com</t>
  </si>
  <si>
    <t>Rollin Smoke BBQ</t>
  </si>
  <si>
    <t>rollinsmokeatxbbq@gmail.com</t>
  </si>
  <si>
    <t>https://rollinsmokeatxbbq.com</t>
  </si>
  <si>
    <t>Salty Sow</t>
  </si>
  <si>
    <t>saltysowaustin@saltysow.com</t>
  </si>
  <si>
    <t>https://saltysow.com</t>
  </si>
  <si>
    <t>Sandy's Hamburgers</t>
  </si>
  <si>
    <t>sandys.5609.210@gmail.com</t>
  </si>
  <si>
    <t>https://sandysaustin.com</t>
  </si>
  <si>
    <t>Sazan Ramen</t>
  </si>
  <si>
    <t>manager@sazanramen.com</t>
  </si>
  <si>
    <t>https://sazanramen.com</t>
  </si>
  <si>
    <t>Slab BBQ</t>
  </si>
  <si>
    <t>info@slabbbq.com</t>
  </si>
  <si>
    <t>https://www.slabbbq.com</t>
  </si>
  <si>
    <t>Sour Duck Market</t>
  </si>
  <si>
    <t>info@sourduckaustin.com</t>
  </si>
  <si>
    <t>https://www.sourduckmarket.com</t>
  </si>
  <si>
    <t>Spread &amp; Co</t>
  </si>
  <si>
    <t>events@spreadandco.com</t>
  </si>
  <si>
    <t>https://www.spreadandco.com</t>
  </si>
  <si>
    <t>Summer Moon Coffee</t>
  </si>
  <si>
    <t>corporate@summermoon.com</t>
  </si>
  <si>
    <t>https://www.summermooncoffee.com</t>
  </si>
  <si>
    <t>Tamale House East</t>
  </si>
  <si>
    <t>Founded 1958</t>
  </si>
  <si>
    <t>tamalehouseeast@gmail.com</t>
  </si>
  <si>
    <t>https://www.tamalehouseeast.com</t>
  </si>
  <si>
    <t>Taste of Ethiopia</t>
  </si>
  <si>
    <t>tasteofethiopia@yahoo.com</t>
  </si>
  <si>
    <t>https://www.tasteofethiopiaaustin.com</t>
  </si>
  <si>
    <t>Teal House</t>
  </si>
  <si>
    <t>tealhousebakery@gmail.com</t>
  </si>
  <si>
    <t>https://www.tealhouse.co</t>
  </si>
  <si>
    <t>The Backspace</t>
  </si>
  <si>
    <t>info@thebackspace-austin.com</t>
  </si>
  <si>
    <t>https://www.backspacepizza.com</t>
  </si>
  <si>
    <t>The Peached Tortilla</t>
  </si>
  <si>
    <t>Eric Silverstein</t>
  </si>
  <si>
    <t>mail@thepeachedtortilla.com</t>
  </si>
  <si>
    <t>https://www.thepeachedtortilla.com</t>
  </si>
  <si>
    <t>Turnstile</t>
  </si>
  <si>
    <t>mark@turnstilebrews.com</t>
  </si>
  <si>
    <t>https://turnstilebrews.com</t>
  </si>
  <si>
    <t>Tyson's Tacos</t>
  </si>
  <si>
    <t>tysonstacos@gmail.com</t>
  </si>
  <si>
    <t>https://www.tysonstacos.com</t>
  </si>
  <si>
    <t>Vaquero Taquero</t>
  </si>
  <si>
    <t>info@vaquerotaquero.com</t>
  </si>
  <si>
    <t>https://www.vaquerotaquero.com</t>
  </si>
  <si>
    <t>Vic &amp; Al's</t>
  </si>
  <si>
    <t>info@vicandals.com</t>
  </si>
  <si>
    <t>https://www.vicandals.com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</si>
</sst>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PlainFinancials_Outreach_Updated.xlsx" TargetMode="External"/><Relationship Id="rId1" Type="http://schemas.openxmlformats.org/officeDocument/2006/relationships/externalLinkPath" Target="/Users/LENOVO/Desktop/PlainFinancials_Outreach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reach Tracker"/>
    </sheetNames>
    <sheetDataSet>
      <sheetData sheetId="0">
        <row r="1">
          <cell r="D1" t="str">
            <v>Email</v>
          </cell>
        </row>
        <row r="2">
          <cell r="D2" t="str">
            <v>meek@meeksveganpizza.com</v>
          </cell>
        </row>
        <row r="3">
          <cell r="D3" t="str">
            <v>pazzo@archer-provisions.com</v>
          </cell>
        </row>
        <row r="4">
          <cell r="D4" t="str">
            <v>hello@billsoyster.com</v>
          </cell>
        </row>
        <row r="5">
          <cell r="D5" t="str">
            <v>lenoir.restaurant@gmail.com</v>
          </cell>
        </row>
        <row r="6">
          <cell r="D6" t="str">
            <v>info@deedeeatx.com</v>
          </cell>
        </row>
        <row r="7">
          <cell r="D7" t="str">
            <v>ghaffari78731@gmail.com</v>
          </cell>
        </row>
        <row r="8">
          <cell r="D8" t="str">
            <v>hola@nixtataqueria.com</v>
          </cell>
        </row>
        <row r="9">
          <cell r="D9" t="str">
            <v>bartletts@bartlettsaustin.com</v>
          </cell>
        </row>
        <row r="10">
          <cell r="D10" t="str">
            <v>info@hillsidefarmacy.com</v>
          </cell>
        </row>
        <row r="11">
          <cell r="D11" t="str">
            <v>info@eldoradocafeatx.com</v>
          </cell>
        </row>
        <row r="12">
          <cell r="D12" t="str">
            <v>tamalehouseeast@gmail.com</v>
          </cell>
        </row>
        <row r="13">
          <cell r="D13" t="str">
            <v>info@bouldincreek.com</v>
          </cell>
        </row>
        <row r="14">
          <cell r="D14" t="str">
            <v>eat@foodheads.com</v>
          </cell>
        </row>
        <row r="15">
          <cell r="D15" t="str">
            <v>fatdragonatx@gmail.com</v>
          </cell>
        </row>
        <row r="16">
          <cell r="D16" t="str">
            <v>info@vicandals.com</v>
          </cell>
        </row>
        <row r="17">
          <cell r="D17" t="str">
            <v>info@wellpharmapharmacy.com</v>
          </cell>
        </row>
        <row r="18">
          <cell r="D18" t="str">
            <v>info@24diner.com</v>
          </cell>
        </row>
        <row r="19">
          <cell r="D19" t="str">
            <v>orders@araratfusion.com</v>
          </cell>
        </row>
        <row r="20">
          <cell r="D20" t="str">
            <v>hello@baldinucci.pizza</v>
          </cell>
        </row>
        <row r="21">
          <cell r="D21" t="str">
            <v>info@barleyswine.com</v>
          </cell>
        </row>
        <row r="22">
          <cell r="D22" t="str">
            <v>hello@bentopicnic.com</v>
          </cell>
        </row>
        <row r="23">
          <cell r="D23" t="str">
            <v>bombaysham@yahoo.com</v>
          </cell>
        </row>
        <row r="24">
          <cell r="D24" t="str">
            <v>info@bufalinapizza.com</v>
          </cell>
        </row>
        <row r="25">
          <cell r="D25" t="str">
            <v>team@chilantrobbq.com</v>
          </cell>
        </row>
        <row r="26">
          <cell r="D26" t="str">
            <v>currasapple@gmail.com</v>
          </cell>
        </row>
        <row r="27">
          <cell r="D27" t="str">
            <v>party@daidue.com</v>
          </cell>
        </row>
        <row r="28">
          <cell r="D28" t="str">
            <v>hablar@denadacantina.com</v>
          </cell>
        </row>
        <row r="29">
          <cell r="D29" t="str">
            <v>info@dkmarias.com</v>
          </cell>
        </row>
        <row r="30">
          <cell r="D30" t="str">
            <v>pham.steven5196@gmail.com</v>
          </cell>
        </row>
        <row r="31">
          <cell r="D31" t="str">
            <v>info@cajjuneats.com</v>
          </cell>
        </row>
        <row r="32">
          <cell r="D32" t="str">
            <v>info@eberlyaustin.com</v>
          </cell>
        </row>
        <row r="33">
          <cell r="D33" t="str">
            <v>north@elmercadorestaurant.com</v>
          </cell>
        </row>
        <row r="34">
          <cell r="D34" t="str">
            <v>hola@esteatx.com</v>
          </cell>
        </row>
        <row r="35">
          <cell r="D35" t="str">
            <v>eurasiaramen@gmail.com</v>
          </cell>
        </row>
        <row r="36">
          <cell r="D36" t="str">
            <v>info@ezovatx.com</v>
          </cell>
        </row>
        <row r="37">
          <cell r="D37" t="str">
            <v>contact@fabrikatx.com</v>
          </cell>
        </row>
        <row r="38">
          <cell r="D38" t="str">
            <v>keith@austinfixe.com</v>
          </cell>
        </row>
        <row r="39">
          <cell r="D39" t="str">
            <v>events@fondasanmiguel.com</v>
          </cell>
        </row>
        <row r="40">
          <cell r="D40" t="str">
            <v>hi@fresaschicken.com</v>
          </cell>
        </row>
        <row r="41">
          <cell r="D41" t="str">
            <v>eat@fukumotoaustin.com</v>
          </cell>
        </row>
        <row r="42">
          <cell r="D42" t="str">
            <v>grannystacos@gmail.com</v>
          </cell>
        </row>
        <row r="43">
          <cell r="D43" t="str">
            <v>hello@ggroasting.com</v>
          </cell>
        </row>
        <row r="44">
          <cell r="D44" t="str">
            <v>info@gueros.com</v>
          </cell>
        </row>
        <row r="45">
          <cell r="D45" t="str">
            <v>yidfantu@gmail.com</v>
          </cell>
        </row>
        <row r="46">
          <cell r="D46" t="str">
            <v>info@hestiaaustin.com</v>
          </cell>
        </row>
        <row r="47">
          <cell r="D47" t="str">
            <v>donations@homeslicepizza.com</v>
          </cell>
        </row>
        <row r="48">
          <cell r="D48" t="str">
            <v>howdy@hooverscooking.com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051C2-C5D7-463D-89A5-3033C935D481}">
  <dimension ref="A1:E99"/>
  <sheetViews>
    <sheetView tabSelected="1" topLeftCell="A26" workbookViewId="0">
      <selection activeCell="E43" sqref="E43"/>
    </sheetView>
  </sheetViews>
  <sheetFormatPr defaultRowHeight="14.4" x14ac:dyDescent="0.3"/>
  <cols>
    <col min="1" max="1" width="20" bestFit="1" customWidth="1"/>
    <col min="2" max="2" width="28.109375" bestFit="1" customWidth="1"/>
    <col min="3" max="3" width="44.6640625" bestFit="1" customWidth="1"/>
    <col min="4" max="4" width="34.33203125" bestFit="1" customWidth="1"/>
    <col min="5" max="5" width="26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C2" t="s">
        <v>6</v>
      </c>
      <c r="D2" t="s">
        <v>7</v>
      </c>
      <c r="E2" t="str">
        <f>VLOOKUP(C2,'[1]Outreach Tracker'!$D:$D,1,0)</f>
        <v>info@24diner.com</v>
      </c>
    </row>
    <row r="3" spans="1:5" x14ac:dyDescent="0.3">
      <c r="A3" t="s">
        <v>8</v>
      </c>
      <c r="C3" t="s">
        <v>9</v>
      </c>
      <c r="D3" t="s">
        <v>10</v>
      </c>
      <c r="E3" t="str">
        <f>VLOOKUP(C3,'[1]Outreach Tracker'!$D:$D,1,0)</f>
        <v>orders@araratfusion.com</v>
      </c>
    </row>
    <row r="4" spans="1:5" x14ac:dyDescent="0.3">
      <c r="A4" t="s">
        <v>11</v>
      </c>
      <c r="C4" t="s">
        <v>12</v>
      </c>
      <c r="D4" t="s">
        <v>13</v>
      </c>
      <c r="E4" t="str">
        <f>VLOOKUP(C4,'[1]Outreach Tracker'!$D:$D,1,0)</f>
        <v>hello@baldinucci.pizza</v>
      </c>
    </row>
    <row r="5" spans="1:5" x14ac:dyDescent="0.3">
      <c r="A5" t="s">
        <v>14</v>
      </c>
      <c r="B5" t="s">
        <v>15</v>
      </c>
      <c r="C5" t="s">
        <v>16</v>
      </c>
      <c r="D5" t="s">
        <v>17</v>
      </c>
      <c r="E5" t="str">
        <f>VLOOKUP(C5,'[1]Outreach Tracker'!$D:$D,1,0)</f>
        <v>info@barleyswine.com</v>
      </c>
    </row>
    <row r="6" spans="1:5" x14ac:dyDescent="0.3">
      <c r="A6" t="s">
        <v>18</v>
      </c>
      <c r="C6" t="s">
        <v>19</v>
      </c>
      <c r="D6" t="s">
        <v>20</v>
      </c>
      <c r="E6" t="str">
        <f>VLOOKUP(C6,'[1]Outreach Tracker'!$D:$D,1,0)</f>
        <v>bartletts@bartlettsaustin.com</v>
      </c>
    </row>
    <row r="7" spans="1:5" x14ac:dyDescent="0.3">
      <c r="A7" t="s">
        <v>21</v>
      </c>
      <c r="C7" t="s">
        <v>22</v>
      </c>
      <c r="D7" t="s">
        <v>23</v>
      </c>
      <c r="E7" t="str">
        <f>VLOOKUP(C7,'[1]Outreach Tracker'!$D:$D,1,0)</f>
        <v>hello@bentopicnic.com</v>
      </c>
    </row>
    <row r="8" spans="1:5" x14ac:dyDescent="0.3">
      <c r="A8" t="s">
        <v>24</v>
      </c>
      <c r="B8" t="s">
        <v>25</v>
      </c>
      <c r="C8" t="s">
        <v>26</v>
      </c>
      <c r="D8" t="s">
        <v>27</v>
      </c>
      <c r="E8" t="str">
        <f>VLOOKUP(C8,'[1]Outreach Tracker'!$D:$D,1,0)</f>
        <v>hello@billsoyster.com</v>
      </c>
    </row>
    <row r="9" spans="1:5" x14ac:dyDescent="0.3">
      <c r="A9" t="s">
        <v>28</v>
      </c>
      <c r="C9" t="s">
        <v>29</v>
      </c>
      <c r="D9" t="s">
        <v>30</v>
      </c>
      <c r="E9" t="str">
        <f>VLOOKUP(C9,'[1]Outreach Tracker'!$D:$D,1,0)</f>
        <v>bombaysham@yahoo.com</v>
      </c>
    </row>
    <row r="10" spans="1:5" x14ac:dyDescent="0.3">
      <c r="A10" t="s">
        <v>31</v>
      </c>
      <c r="B10" t="s">
        <v>32</v>
      </c>
      <c r="C10" t="s">
        <v>33</v>
      </c>
      <c r="D10" t="s">
        <v>34</v>
      </c>
      <c r="E10" t="str">
        <f>VLOOKUP(C10,'[1]Outreach Tracker'!$D:$D,1,0)</f>
        <v>info@bouldincreek.com</v>
      </c>
    </row>
    <row r="11" spans="1:5" x14ac:dyDescent="0.3">
      <c r="A11" t="s">
        <v>35</v>
      </c>
      <c r="C11" t="s">
        <v>36</v>
      </c>
      <c r="D11" t="s">
        <v>37</v>
      </c>
      <c r="E11" t="str">
        <f>VLOOKUP(C11,'[1]Outreach Tracker'!$D:$D,1,0)</f>
        <v>info@bufalinapizza.com</v>
      </c>
    </row>
    <row r="12" spans="1:5" x14ac:dyDescent="0.3">
      <c r="A12" t="s">
        <v>38</v>
      </c>
      <c r="C12" t="s">
        <v>39</v>
      </c>
      <c r="D12" t="s">
        <v>40</v>
      </c>
      <c r="E12" t="str">
        <f>VLOOKUP(C12,'[1]Outreach Tracker'!$D:$D,1,0)</f>
        <v>ghaffari78731@gmail.com</v>
      </c>
    </row>
    <row r="13" spans="1:5" x14ac:dyDescent="0.3">
      <c r="A13" t="s">
        <v>41</v>
      </c>
      <c r="B13" t="s">
        <v>42</v>
      </c>
      <c r="C13" t="s">
        <v>43</v>
      </c>
      <c r="D13" t="s">
        <v>44</v>
      </c>
      <c r="E13" t="str">
        <f>VLOOKUP(C13,'[1]Outreach Tracker'!$D:$D,1,0)</f>
        <v>team@chilantrobbq.com</v>
      </c>
    </row>
    <row r="14" spans="1:5" x14ac:dyDescent="0.3">
      <c r="A14" t="s">
        <v>45</v>
      </c>
      <c r="C14" t="s">
        <v>46</v>
      </c>
      <c r="D14" t="s">
        <v>47</v>
      </c>
      <c r="E14" t="str">
        <f>VLOOKUP(C14,'[1]Outreach Tracker'!$D:$D,1,0)</f>
        <v>currasapple@gmail.com</v>
      </c>
    </row>
    <row r="15" spans="1:5" x14ac:dyDescent="0.3">
      <c r="A15" t="s">
        <v>48</v>
      </c>
      <c r="C15" t="s">
        <v>49</v>
      </c>
      <c r="D15" t="s">
        <v>50</v>
      </c>
      <c r="E15" t="str">
        <f>VLOOKUP(C15,'[1]Outreach Tracker'!$D:$D,1,0)</f>
        <v>party@daidue.com</v>
      </c>
    </row>
    <row r="16" spans="1:5" x14ac:dyDescent="0.3">
      <c r="A16" t="s">
        <v>51</v>
      </c>
      <c r="C16" t="s">
        <v>52</v>
      </c>
      <c r="D16" t="s">
        <v>53</v>
      </c>
      <c r="E16" t="str">
        <f>VLOOKUP(C16,'[1]Outreach Tracker'!$D:$D,1,0)</f>
        <v>hablar@denadacantina.com</v>
      </c>
    </row>
    <row r="17" spans="1:5" x14ac:dyDescent="0.3">
      <c r="A17" t="s">
        <v>54</v>
      </c>
      <c r="B17" t="s">
        <v>55</v>
      </c>
      <c r="C17" t="s">
        <v>56</v>
      </c>
      <c r="D17" t="s">
        <v>57</v>
      </c>
      <c r="E17" t="str">
        <f>VLOOKUP(C17,'[1]Outreach Tracker'!$D:$D,1,0)</f>
        <v>info@deedeeatx.com</v>
      </c>
    </row>
    <row r="18" spans="1:5" x14ac:dyDescent="0.3">
      <c r="A18" t="s">
        <v>58</v>
      </c>
      <c r="C18" t="s">
        <v>59</v>
      </c>
      <c r="D18" t="s">
        <v>60</v>
      </c>
      <c r="E18" t="str">
        <f>VLOOKUP(C18,'[1]Outreach Tracker'!$D:$D,1,0)</f>
        <v>info@dkmarias.com</v>
      </c>
    </row>
    <row r="19" spans="1:5" x14ac:dyDescent="0.3">
      <c r="A19" t="s">
        <v>61</v>
      </c>
      <c r="B19" t="s">
        <v>62</v>
      </c>
      <c r="C19" t="s">
        <v>63</v>
      </c>
      <c r="D19" t="s">
        <v>64</v>
      </c>
      <c r="E19" t="str">
        <f>VLOOKUP(C19,'[1]Outreach Tracker'!$D:$D,1,0)</f>
        <v>pham.steven5196@gmail.com</v>
      </c>
    </row>
    <row r="20" spans="1:5" x14ac:dyDescent="0.3">
      <c r="A20" t="s">
        <v>65</v>
      </c>
      <c r="C20" t="s">
        <v>66</v>
      </c>
      <c r="D20" t="s">
        <v>67</v>
      </c>
      <c r="E20" t="str">
        <f>VLOOKUP(C20,'[1]Outreach Tracker'!$D:$D,1,0)</f>
        <v>info@cajjuneats.com</v>
      </c>
    </row>
    <row r="21" spans="1:5" x14ac:dyDescent="0.3">
      <c r="A21" t="s">
        <v>68</v>
      </c>
      <c r="C21" t="s">
        <v>69</v>
      </c>
      <c r="D21" t="s">
        <v>70</v>
      </c>
      <c r="E21" t="str">
        <f>VLOOKUP(C21,'[1]Outreach Tracker'!$D:$D,1,0)</f>
        <v>info@eberlyaustin.com</v>
      </c>
    </row>
    <row r="22" spans="1:5" x14ac:dyDescent="0.3">
      <c r="A22" t="s">
        <v>71</v>
      </c>
      <c r="C22" t="s">
        <v>72</v>
      </c>
      <c r="D22" t="s">
        <v>73</v>
      </c>
      <c r="E22" t="str">
        <f>VLOOKUP(C22,'[1]Outreach Tracker'!$D:$D,1,0)</f>
        <v>north@elmercadorestaurant.com</v>
      </c>
    </row>
    <row r="23" spans="1:5" x14ac:dyDescent="0.3">
      <c r="A23" t="s">
        <v>74</v>
      </c>
      <c r="C23" t="s">
        <v>75</v>
      </c>
      <c r="D23" t="s">
        <v>76</v>
      </c>
      <c r="E23" t="str">
        <f>VLOOKUP(C23,'[1]Outreach Tracker'!$D:$D,1,0)</f>
        <v>info@eldoradocafeatx.com</v>
      </c>
    </row>
    <row r="24" spans="1:5" x14ac:dyDescent="0.3">
      <c r="A24" t="s">
        <v>77</v>
      </c>
      <c r="C24" t="s">
        <v>78</v>
      </c>
      <c r="D24" t="s">
        <v>79</v>
      </c>
      <c r="E24" t="str">
        <f>VLOOKUP(C24,'[1]Outreach Tracker'!$D:$D,1,0)</f>
        <v>hola@esteatx.com</v>
      </c>
    </row>
    <row r="25" spans="1:5" x14ac:dyDescent="0.3">
      <c r="A25" s="1" t="s">
        <v>80</v>
      </c>
      <c r="C25" t="s">
        <v>81</v>
      </c>
      <c r="D25" t="s">
        <v>82</v>
      </c>
      <c r="E25" t="str">
        <f>VLOOKUP(C25,'[1]Outreach Tracker'!$D:$D,1,0)</f>
        <v>eurasiaramen@gmail.com</v>
      </c>
    </row>
    <row r="26" spans="1:5" x14ac:dyDescent="0.3">
      <c r="A26" s="1" t="s">
        <v>83</v>
      </c>
      <c r="C26" t="s">
        <v>84</v>
      </c>
      <c r="D26" t="s">
        <v>85</v>
      </c>
      <c r="E26" t="str">
        <f>VLOOKUP(C26,'[1]Outreach Tracker'!$D:$D,1,0)</f>
        <v>info@ezovatx.com</v>
      </c>
    </row>
    <row r="27" spans="1:5" x14ac:dyDescent="0.3">
      <c r="A27" s="1" t="s">
        <v>86</v>
      </c>
      <c r="C27" t="s">
        <v>87</v>
      </c>
      <c r="D27" t="s">
        <v>88</v>
      </c>
      <c r="E27" t="str">
        <f>VLOOKUP(C27,'[1]Outreach Tracker'!$D:$D,1,0)</f>
        <v>contact@fabrikatx.com</v>
      </c>
    </row>
    <row r="28" spans="1:5" x14ac:dyDescent="0.3">
      <c r="A28" t="s">
        <v>89</v>
      </c>
      <c r="C28" t="s">
        <v>90</v>
      </c>
      <c r="D28" t="s">
        <v>91</v>
      </c>
      <c r="E28" t="str">
        <f>VLOOKUP(C28,'[1]Outreach Tracker'!$D:$D,1,0)</f>
        <v>fatdragonatx@gmail.com</v>
      </c>
    </row>
    <row r="29" spans="1:5" x14ac:dyDescent="0.3">
      <c r="A29" s="1" t="s">
        <v>92</v>
      </c>
      <c r="B29" t="s">
        <v>93</v>
      </c>
      <c r="C29" t="s">
        <v>94</v>
      </c>
      <c r="D29" t="s">
        <v>95</v>
      </c>
      <c r="E29" t="str">
        <f>VLOOKUP(C29,'[1]Outreach Tracker'!$D:$D,1,0)</f>
        <v>keith@austinfixe.com</v>
      </c>
    </row>
    <row r="30" spans="1:5" x14ac:dyDescent="0.3">
      <c r="A30" s="1" t="s">
        <v>96</v>
      </c>
      <c r="B30" t="s">
        <v>97</v>
      </c>
      <c r="C30" t="s">
        <v>98</v>
      </c>
      <c r="D30" t="s">
        <v>99</v>
      </c>
      <c r="E30" t="str">
        <f>VLOOKUP(C30,'[1]Outreach Tracker'!$D:$D,1,0)</f>
        <v>events@fondasanmiguel.com</v>
      </c>
    </row>
    <row r="31" spans="1:5" x14ac:dyDescent="0.3">
      <c r="A31" t="s">
        <v>100</v>
      </c>
      <c r="C31" t="s">
        <v>101</v>
      </c>
      <c r="D31" t="s">
        <v>102</v>
      </c>
      <c r="E31" t="str">
        <f>VLOOKUP(C31,'[1]Outreach Tracker'!$D:$D,1,0)</f>
        <v>eat@foodheads.com</v>
      </c>
    </row>
    <row r="32" spans="1:5" x14ac:dyDescent="0.3">
      <c r="A32" s="1" t="s">
        <v>103</v>
      </c>
      <c r="B32" t="s">
        <v>104</v>
      </c>
      <c r="C32" t="s">
        <v>105</v>
      </c>
      <c r="D32" t="s">
        <v>106</v>
      </c>
      <c r="E32" t="str">
        <f>VLOOKUP(C32,'[1]Outreach Tracker'!$D:$D,1,0)</f>
        <v>hi@fresaschicken.com</v>
      </c>
    </row>
    <row r="33" spans="1:5" x14ac:dyDescent="0.3">
      <c r="A33" s="1" t="s">
        <v>107</v>
      </c>
      <c r="C33" t="s">
        <v>108</v>
      </c>
      <c r="D33" t="s">
        <v>109</v>
      </c>
      <c r="E33" t="str">
        <f>VLOOKUP(C33,'[1]Outreach Tracker'!$D:$D,1,0)</f>
        <v>eat@fukumotoaustin.com</v>
      </c>
    </row>
    <row r="34" spans="1:5" x14ac:dyDescent="0.3">
      <c r="A34" s="1" t="s">
        <v>110</v>
      </c>
      <c r="C34" t="s">
        <v>111</v>
      </c>
      <c r="D34" t="s">
        <v>112</v>
      </c>
      <c r="E34" t="str">
        <f>VLOOKUP(C34,'[1]Outreach Tracker'!$D:$D,1,0)</f>
        <v>grannystacos@gmail.com</v>
      </c>
    </row>
    <row r="35" spans="1:5" x14ac:dyDescent="0.3">
      <c r="A35" s="1" t="s">
        <v>113</v>
      </c>
      <c r="C35" t="s">
        <v>114</v>
      </c>
      <c r="D35" t="s">
        <v>115</v>
      </c>
      <c r="E35" t="str">
        <f>VLOOKUP(C35,'[1]Outreach Tracker'!$D:$D,1,0)</f>
        <v>hello@ggroasting.com</v>
      </c>
    </row>
    <row r="36" spans="1:5" x14ac:dyDescent="0.3">
      <c r="A36" s="1" t="s">
        <v>116</v>
      </c>
      <c r="C36" t="s">
        <v>117</v>
      </c>
      <c r="D36" t="s">
        <v>118</v>
      </c>
      <c r="E36" t="str">
        <f>VLOOKUP(C36,'[1]Outreach Tracker'!$D:$D,1,0)</f>
        <v>info@gueros.com</v>
      </c>
    </row>
    <row r="37" spans="1:5" x14ac:dyDescent="0.3">
      <c r="A37" s="1" t="s">
        <v>119</v>
      </c>
      <c r="C37" t="s">
        <v>120</v>
      </c>
      <c r="D37" t="s">
        <v>121</v>
      </c>
      <c r="E37" t="str">
        <f>VLOOKUP(C37,'[1]Outreach Tracker'!$D:$D,1,0)</f>
        <v>yidfantu@gmail.com</v>
      </c>
    </row>
    <row r="38" spans="1:5" x14ac:dyDescent="0.3">
      <c r="A38" s="1" t="s">
        <v>122</v>
      </c>
      <c r="B38" t="s">
        <v>123</v>
      </c>
      <c r="C38" t="s">
        <v>124</v>
      </c>
      <c r="D38" t="s">
        <v>125</v>
      </c>
      <c r="E38" t="str">
        <f>VLOOKUP(C38,'[1]Outreach Tracker'!$D:$D,1,0)</f>
        <v>info@hestiaaustin.com</v>
      </c>
    </row>
    <row r="39" spans="1:5" x14ac:dyDescent="0.3">
      <c r="A39" t="s">
        <v>126</v>
      </c>
      <c r="C39" t="s">
        <v>127</v>
      </c>
      <c r="D39" t="s">
        <v>128</v>
      </c>
      <c r="E39" t="str">
        <f>VLOOKUP(C39,'[1]Outreach Tracker'!$D:$D,1,0)</f>
        <v>info@hillsidefarmacy.com</v>
      </c>
    </row>
    <row r="40" spans="1:5" x14ac:dyDescent="0.3">
      <c r="A40" s="1" t="s">
        <v>129</v>
      </c>
      <c r="C40" t="s">
        <v>130</v>
      </c>
      <c r="D40" t="s">
        <v>131</v>
      </c>
      <c r="E40" t="str">
        <f>VLOOKUP(C40,'[1]Outreach Tracker'!$D:$D,1,0)</f>
        <v>donations@homeslicepizza.com</v>
      </c>
    </row>
    <row r="41" spans="1:5" x14ac:dyDescent="0.3">
      <c r="A41" s="1" t="s">
        <v>132</v>
      </c>
      <c r="B41" t="s">
        <v>133</v>
      </c>
      <c r="C41" t="s">
        <v>134</v>
      </c>
      <c r="D41" t="s">
        <v>135</v>
      </c>
      <c r="E41" t="str">
        <f>VLOOKUP(C41,'[1]Outreach Tracker'!$D:$D,1,0)</f>
        <v>howdy@hooverscooking.com</v>
      </c>
    </row>
    <row r="42" spans="1:5" x14ac:dyDescent="0.3">
      <c r="A42" s="1" t="s">
        <v>136</v>
      </c>
      <c r="C42" t="s">
        <v>137</v>
      </c>
      <c r="D42" t="s">
        <v>138</v>
      </c>
      <c r="E42" t="e">
        <f>VLOOKUP(C42,'[1]Outreach Tracker'!$D:$D,1,0)</f>
        <v>#N/A</v>
      </c>
    </row>
    <row r="43" spans="1:5" x14ac:dyDescent="0.3">
      <c r="A43" t="s">
        <v>139</v>
      </c>
      <c r="C43" t="s">
        <v>140</v>
      </c>
      <c r="D43" t="s">
        <v>141</v>
      </c>
      <c r="E43" t="e">
        <f>VLOOKUP(C43,'[1]Outreach Tracker'!$D:$D,1,0)</f>
        <v>#N/A</v>
      </c>
    </row>
    <row r="44" spans="1:5" x14ac:dyDescent="0.3">
      <c r="A44" t="s">
        <v>142</v>
      </c>
      <c r="B44" t="s">
        <v>143</v>
      </c>
      <c r="C44" t="s">
        <v>144</v>
      </c>
      <c r="D44" t="s">
        <v>145</v>
      </c>
      <c r="E44" t="e">
        <f>VLOOKUP(C44,'[1]Outreach Tracker'!$D:$D,1,0)</f>
        <v>#N/A</v>
      </c>
    </row>
    <row r="45" spans="1:5" x14ac:dyDescent="0.3">
      <c r="A45" t="s">
        <v>146</v>
      </c>
      <c r="C45" t="s">
        <v>147</v>
      </c>
      <c r="D45" t="s">
        <v>148</v>
      </c>
      <c r="E45" t="e">
        <f>VLOOKUP(C45,'[1]Outreach Tracker'!$D:$D,1,0)</f>
        <v>#N/A</v>
      </c>
    </row>
    <row r="46" spans="1:5" x14ac:dyDescent="0.3">
      <c r="A46" t="s">
        <v>149</v>
      </c>
      <c r="C46" t="s">
        <v>150</v>
      </c>
      <c r="D46" t="s">
        <v>151</v>
      </c>
      <c r="E46" t="e">
        <f>VLOOKUP(C46,'[1]Outreach Tracker'!$D:$D,1,0)</f>
        <v>#N/A</v>
      </c>
    </row>
    <row r="47" spans="1:5" x14ac:dyDescent="0.3">
      <c r="A47" t="s">
        <v>152</v>
      </c>
      <c r="C47" t="s">
        <v>153</v>
      </c>
      <c r="D47" t="s">
        <v>154</v>
      </c>
      <c r="E47" t="e">
        <f>VLOOKUP(C47,'[1]Outreach Tracker'!$D:$D,1,0)</f>
        <v>#N/A</v>
      </c>
    </row>
    <row r="48" spans="1:5" x14ac:dyDescent="0.3">
      <c r="A48" t="s">
        <v>155</v>
      </c>
      <c r="C48" t="s">
        <v>156</v>
      </c>
      <c r="D48" t="s">
        <v>157</v>
      </c>
      <c r="E48" t="e">
        <f>VLOOKUP(C48,'[1]Outreach Tracker'!$D:$D,1,0)</f>
        <v>#N/A</v>
      </c>
    </row>
    <row r="49" spans="1:5" x14ac:dyDescent="0.3">
      <c r="A49" t="s">
        <v>158</v>
      </c>
      <c r="B49" t="s">
        <v>159</v>
      </c>
      <c r="C49" t="s">
        <v>160</v>
      </c>
      <c r="D49" t="s">
        <v>161</v>
      </c>
      <c r="E49" t="e">
        <f>VLOOKUP(C49,'[1]Outreach Tracker'!$D:$D,1,0)</f>
        <v>#N/A</v>
      </c>
    </row>
    <row r="50" spans="1:5" x14ac:dyDescent="0.3">
      <c r="A50" t="s">
        <v>162</v>
      </c>
      <c r="B50" t="s">
        <v>163</v>
      </c>
      <c r="C50" t="s">
        <v>164</v>
      </c>
      <c r="D50" t="s">
        <v>165</v>
      </c>
      <c r="E50" t="e">
        <f>VLOOKUP(C50,'[1]Outreach Tracker'!$D:$D,1,0)</f>
        <v>#N/A</v>
      </c>
    </row>
    <row r="51" spans="1:5" x14ac:dyDescent="0.3">
      <c r="A51" t="s">
        <v>166</v>
      </c>
      <c r="C51" t="s">
        <v>167</v>
      </c>
      <c r="D51" t="s">
        <v>168</v>
      </c>
      <c r="E51" t="e">
        <f>VLOOKUP(C51,'[1]Outreach Tracker'!$D:$D,1,0)</f>
        <v>#N/A</v>
      </c>
    </row>
    <row r="52" spans="1:5" x14ac:dyDescent="0.3">
      <c r="A52" t="s">
        <v>169</v>
      </c>
      <c r="C52" t="s">
        <v>170</v>
      </c>
      <c r="D52" t="s">
        <v>171</v>
      </c>
      <c r="E52" t="e">
        <f>VLOOKUP(C52,'[1]Outreach Tracker'!$D:$D,1,0)</f>
        <v>#N/A</v>
      </c>
    </row>
    <row r="53" spans="1:5" x14ac:dyDescent="0.3">
      <c r="A53" t="s">
        <v>172</v>
      </c>
      <c r="C53" t="s">
        <v>173</v>
      </c>
      <c r="D53" t="s">
        <v>174</v>
      </c>
      <c r="E53" t="e">
        <f>VLOOKUP(C53,'[1]Outreach Tracker'!$D:$D,1,0)</f>
        <v>#N/A</v>
      </c>
    </row>
    <row r="54" spans="1:5" x14ac:dyDescent="0.3">
      <c r="A54" t="s">
        <v>175</v>
      </c>
      <c r="C54" t="s">
        <v>176</v>
      </c>
      <c r="D54" t="s">
        <v>177</v>
      </c>
      <c r="E54" t="e">
        <f>VLOOKUP(C54,'[1]Outreach Tracker'!$D:$D,1,0)</f>
        <v>#N/A</v>
      </c>
    </row>
    <row r="55" spans="1:5" x14ac:dyDescent="0.3">
      <c r="A55" t="s">
        <v>178</v>
      </c>
      <c r="C55" t="s">
        <v>179</v>
      </c>
      <c r="D55" t="s">
        <v>180</v>
      </c>
      <c r="E55" t="e">
        <f>VLOOKUP(C55,'[1]Outreach Tracker'!$D:$D,1,0)</f>
        <v>#N/A</v>
      </c>
    </row>
    <row r="56" spans="1:5" x14ac:dyDescent="0.3">
      <c r="A56" t="s">
        <v>181</v>
      </c>
      <c r="B56" t="s">
        <v>182</v>
      </c>
      <c r="C56" t="s">
        <v>183</v>
      </c>
      <c r="D56" t="s">
        <v>184</v>
      </c>
      <c r="E56" t="str">
        <f>VLOOKUP(C56,'[1]Outreach Tracker'!$D:$D,1,0)</f>
        <v>lenoir.restaurant@gmail.com</v>
      </c>
    </row>
    <row r="57" spans="1:5" x14ac:dyDescent="0.3">
      <c r="A57" t="s">
        <v>185</v>
      </c>
      <c r="C57" t="s">
        <v>186</v>
      </c>
      <c r="D57" t="s">
        <v>187</v>
      </c>
      <c r="E57" t="e">
        <f>VLOOKUP(C57,'[1]Outreach Tracker'!$D:$D,1,0)</f>
        <v>#N/A</v>
      </c>
    </row>
    <row r="58" spans="1:5" x14ac:dyDescent="0.3">
      <c r="A58" t="s">
        <v>188</v>
      </c>
      <c r="C58" t="s">
        <v>189</v>
      </c>
      <c r="D58" t="s">
        <v>190</v>
      </c>
      <c r="E58" t="e">
        <f>VLOOKUP(C58,'[1]Outreach Tracker'!$D:$D,1,0)</f>
        <v>#N/A</v>
      </c>
    </row>
    <row r="59" spans="1:5" x14ac:dyDescent="0.3">
      <c r="A59" t="s">
        <v>191</v>
      </c>
      <c r="C59" t="s">
        <v>192</v>
      </c>
      <c r="D59" t="s">
        <v>193</v>
      </c>
      <c r="E59" t="e">
        <f>VLOOKUP(C59,'[1]Outreach Tracker'!$D:$D,1,0)</f>
        <v>#N/A</v>
      </c>
    </row>
    <row r="60" spans="1:5" x14ac:dyDescent="0.3">
      <c r="A60" t="s">
        <v>194</v>
      </c>
      <c r="B60" t="s">
        <v>195</v>
      </c>
      <c r="C60" t="s">
        <v>196</v>
      </c>
      <c r="D60" t="s">
        <v>197</v>
      </c>
      <c r="E60" t="e">
        <f>VLOOKUP(C60,'[1]Outreach Tracker'!$D:$D,1,0)</f>
        <v>#N/A</v>
      </c>
    </row>
    <row r="61" spans="1:5" x14ac:dyDescent="0.3">
      <c r="A61" t="s">
        <v>198</v>
      </c>
      <c r="C61" t="s">
        <v>199</v>
      </c>
      <c r="D61" t="s">
        <v>200</v>
      </c>
      <c r="E61" t="e">
        <f>VLOOKUP(C61,'[1]Outreach Tracker'!$D:$D,1,0)</f>
        <v>#N/A</v>
      </c>
    </row>
    <row r="62" spans="1:5" x14ac:dyDescent="0.3">
      <c r="A62" t="s">
        <v>201</v>
      </c>
      <c r="B62" t="s">
        <v>202</v>
      </c>
      <c r="C62" t="s">
        <v>203</v>
      </c>
      <c r="D62" t="s">
        <v>204</v>
      </c>
      <c r="E62" t="e">
        <f>VLOOKUP(C62,'[1]Outreach Tracker'!$D:$D,1,0)</f>
        <v>#N/A</v>
      </c>
    </row>
    <row r="63" spans="1:5" x14ac:dyDescent="0.3">
      <c r="A63" t="s">
        <v>205</v>
      </c>
      <c r="C63" t="s">
        <v>206</v>
      </c>
      <c r="D63" t="s">
        <v>207</v>
      </c>
      <c r="E63" t="e">
        <f>VLOOKUP(C63,'[1]Outreach Tracker'!$D:$D,1,0)</f>
        <v>#N/A</v>
      </c>
    </row>
    <row r="64" spans="1:5" x14ac:dyDescent="0.3">
      <c r="A64" t="s">
        <v>208</v>
      </c>
      <c r="C64" t="s">
        <v>209</v>
      </c>
      <c r="D64" t="s">
        <v>210</v>
      </c>
      <c r="E64" t="e">
        <f>VLOOKUP(C64,'[1]Outreach Tracker'!$D:$D,1,0)</f>
        <v>#N/A</v>
      </c>
    </row>
    <row r="65" spans="1:5" x14ac:dyDescent="0.3">
      <c r="A65" t="s">
        <v>211</v>
      </c>
      <c r="C65" t="s">
        <v>212</v>
      </c>
      <c r="D65" t="s">
        <v>213</v>
      </c>
      <c r="E65" t="e">
        <f>VLOOKUP(C65,'[1]Outreach Tracker'!$D:$D,1,0)</f>
        <v>#N/A</v>
      </c>
    </row>
    <row r="66" spans="1:5" x14ac:dyDescent="0.3">
      <c r="A66" t="s">
        <v>214</v>
      </c>
      <c r="B66" t="s">
        <v>215</v>
      </c>
      <c r="C66" t="s">
        <v>216</v>
      </c>
      <c r="D66" t="s">
        <v>217</v>
      </c>
      <c r="E66" t="str">
        <f>VLOOKUP(C66,'[1]Outreach Tracker'!$D:$D,1,0)</f>
        <v>hola@nixtataqueria.com</v>
      </c>
    </row>
    <row r="67" spans="1:5" x14ac:dyDescent="0.3">
      <c r="A67" t="s">
        <v>218</v>
      </c>
      <c r="B67" t="s">
        <v>15</v>
      </c>
      <c r="C67" t="s">
        <v>219</v>
      </c>
      <c r="D67" t="s">
        <v>220</v>
      </c>
      <c r="E67" t="e">
        <f>VLOOKUP(C67,'[1]Outreach Tracker'!$D:$D,1,0)</f>
        <v>#N/A</v>
      </c>
    </row>
    <row r="68" spans="1:5" x14ac:dyDescent="0.3">
      <c r="A68" t="s">
        <v>221</v>
      </c>
      <c r="C68" t="s">
        <v>222</v>
      </c>
      <c r="D68" t="s">
        <v>223</v>
      </c>
      <c r="E68" t="e">
        <f>VLOOKUP(C68,'[1]Outreach Tracker'!$D:$D,1,0)</f>
        <v>#N/A</v>
      </c>
    </row>
    <row r="69" spans="1:5" x14ac:dyDescent="0.3">
      <c r="A69" t="s">
        <v>224</v>
      </c>
      <c r="C69" t="s">
        <v>225</v>
      </c>
      <c r="D69" t="s">
        <v>226</v>
      </c>
      <c r="E69" t="e">
        <f>VLOOKUP(C69,'[1]Outreach Tracker'!$D:$D,1,0)</f>
        <v>#N/A</v>
      </c>
    </row>
    <row r="70" spans="1:5" x14ac:dyDescent="0.3">
      <c r="A70" t="s">
        <v>227</v>
      </c>
      <c r="C70" t="s">
        <v>228</v>
      </c>
      <c r="D70" t="s">
        <v>229</v>
      </c>
      <c r="E70" t="e">
        <f>VLOOKUP(C70,'[1]Outreach Tracker'!$D:$D,1,0)</f>
        <v>#N/A</v>
      </c>
    </row>
    <row r="71" spans="1:5" x14ac:dyDescent="0.3">
      <c r="A71" t="s">
        <v>230</v>
      </c>
      <c r="B71" t="s">
        <v>231</v>
      </c>
      <c r="C71" t="s">
        <v>232</v>
      </c>
      <c r="D71" t="s">
        <v>233</v>
      </c>
      <c r="E71" t="e">
        <f>VLOOKUP(C71,'[1]Outreach Tracker'!$D:$D,1,0)</f>
        <v>#N/A</v>
      </c>
    </row>
    <row r="72" spans="1:5" x14ac:dyDescent="0.3">
      <c r="A72" t="s">
        <v>234</v>
      </c>
      <c r="C72" t="s">
        <v>235</v>
      </c>
      <c r="D72" t="s">
        <v>236</v>
      </c>
      <c r="E72" t="e">
        <f>VLOOKUP(C72,'[1]Outreach Tracker'!$D:$D,1,0)</f>
        <v>#N/A</v>
      </c>
    </row>
    <row r="73" spans="1:5" x14ac:dyDescent="0.3">
      <c r="A73" t="s">
        <v>237</v>
      </c>
      <c r="B73" t="s">
        <v>238</v>
      </c>
      <c r="C73" t="s">
        <v>239</v>
      </c>
      <c r="D73" t="s">
        <v>240</v>
      </c>
      <c r="E73" t="e">
        <f>VLOOKUP(C73,'[1]Outreach Tracker'!$D:$D,1,0)</f>
        <v>#N/A</v>
      </c>
    </row>
    <row r="74" spans="1:5" x14ac:dyDescent="0.3">
      <c r="A74" t="s">
        <v>241</v>
      </c>
      <c r="C74" t="s">
        <v>242</v>
      </c>
      <c r="D74" t="s">
        <v>243</v>
      </c>
      <c r="E74" t="e">
        <f>VLOOKUP(C74,'[1]Outreach Tracker'!$D:$D,1,0)</f>
        <v>#N/A</v>
      </c>
    </row>
    <row r="75" spans="1:5" x14ac:dyDescent="0.3">
      <c r="A75" t="s">
        <v>244</v>
      </c>
      <c r="C75" t="s">
        <v>245</v>
      </c>
      <c r="D75" t="s">
        <v>246</v>
      </c>
      <c r="E75" t="e">
        <f>VLOOKUP(C75,'[1]Outreach Tracker'!$D:$D,1,0)</f>
        <v>#N/A</v>
      </c>
    </row>
    <row r="76" spans="1:5" x14ac:dyDescent="0.3">
      <c r="A76" t="s">
        <v>247</v>
      </c>
      <c r="C76" t="s">
        <v>248</v>
      </c>
      <c r="D76" t="s">
        <v>249</v>
      </c>
      <c r="E76" t="e">
        <f>VLOOKUP(C76,'[1]Outreach Tracker'!$D:$D,1,0)</f>
        <v>#N/A</v>
      </c>
    </row>
    <row r="77" spans="1:5" x14ac:dyDescent="0.3">
      <c r="A77" t="s">
        <v>250</v>
      </c>
      <c r="C77" t="s">
        <v>251</v>
      </c>
      <c r="D77" t="s">
        <v>252</v>
      </c>
      <c r="E77" t="e">
        <f>VLOOKUP(C77,'[1]Outreach Tracker'!$D:$D,1,0)</f>
        <v>#N/A</v>
      </c>
    </row>
    <row r="78" spans="1:5" x14ac:dyDescent="0.3">
      <c r="A78" t="s">
        <v>253</v>
      </c>
      <c r="C78" t="s">
        <v>254</v>
      </c>
      <c r="D78" t="s">
        <v>255</v>
      </c>
      <c r="E78" t="e">
        <f>VLOOKUP(C78,'[1]Outreach Tracker'!$D:$D,1,0)</f>
        <v>#N/A</v>
      </c>
    </row>
    <row r="79" spans="1:5" x14ac:dyDescent="0.3">
      <c r="A79" t="s">
        <v>256</v>
      </c>
      <c r="C79" t="s">
        <v>257</v>
      </c>
      <c r="D79" t="s">
        <v>258</v>
      </c>
      <c r="E79" t="e">
        <f>VLOOKUP(C79,'[1]Outreach Tracker'!$D:$D,1,0)</f>
        <v>#N/A</v>
      </c>
    </row>
    <row r="80" spans="1:5" x14ac:dyDescent="0.3">
      <c r="A80" t="s">
        <v>259</v>
      </c>
      <c r="C80" t="s">
        <v>260</v>
      </c>
      <c r="D80" t="s">
        <v>261</v>
      </c>
      <c r="E80" t="e">
        <f>VLOOKUP(C80,'[1]Outreach Tracker'!$D:$D,1,0)</f>
        <v>#N/A</v>
      </c>
    </row>
    <row r="81" spans="1:5" x14ac:dyDescent="0.3">
      <c r="A81" t="s">
        <v>262</v>
      </c>
      <c r="C81" t="s">
        <v>263</v>
      </c>
      <c r="D81" t="s">
        <v>264</v>
      </c>
      <c r="E81" t="e">
        <f>VLOOKUP(C81,'[1]Outreach Tracker'!$D:$D,1,0)</f>
        <v>#N/A</v>
      </c>
    </row>
    <row r="82" spans="1:5" x14ac:dyDescent="0.3">
      <c r="A82" t="s">
        <v>265</v>
      </c>
      <c r="C82" t="s">
        <v>266</v>
      </c>
      <c r="D82" t="s">
        <v>267</v>
      </c>
      <c r="E82" t="e">
        <f>VLOOKUP(C82,'[1]Outreach Tracker'!$D:$D,1,0)</f>
        <v>#N/A</v>
      </c>
    </row>
    <row r="83" spans="1:5" x14ac:dyDescent="0.3">
      <c r="A83" t="s">
        <v>268</v>
      </c>
      <c r="C83" t="s">
        <v>269</v>
      </c>
      <c r="D83" t="s">
        <v>270</v>
      </c>
      <c r="E83" t="e">
        <f>VLOOKUP(C83,'[1]Outreach Tracker'!$D:$D,1,0)</f>
        <v>#N/A</v>
      </c>
    </row>
    <row r="84" spans="1:5" x14ac:dyDescent="0.3">
      <c r="A84" t="s">
        <v>271</v>
      </c>
      <c r="C84" t="s">
        <v>272</v>
      </c>
      <c r="D84" t="s">
        <v>273</v>
      </c>
      <c r="E84" t="e">
        <f>VLOOKUP(C84,'[1]Outreach Tracker'!$D:$D,1,0)</f>
        <v>#N/A</v>
      </c>
    </row>
    <row r="85" spans="1:5" x14ac:dyDescent="0.3">
      <c r="A85" t="s">
        <v>274</v>
      </c>
      <c r="B85" t="s">
        <v>275</v>
      </c>
      <c r="C85" t="s">
        <v>276</v>
      </c>
      <c r="D85" t="s">
        <v>277</v>
      </c>
      <c r="E85" t="str">
        <f>VLOOKUP(C85,'[1]Outreach Tracker'!$D:$D,1,0)</f>
        <v>tamalehouseeast@gmail.com</v>
      </c>
    </row>
    <row r="86" spans="1:5" x14ac:dyDescent="0.3">
      <c r="A86" t="s">
        <v>278</v>
      </c>
      <c r="C86" t="s">
        <v>279</v>
      </c>
      <c r="D86" t="s">
        <v>280</v>
      </c>
      <c r="E86" t="e">
        <f>VLOOKUP(C86,'[1]Outreach Tracker'!$D:$D,1,0)</f>
        <v>#N/A</v>
      </c>
    </row>
    <row r="87" spans="1:5" x14ac:dyDescent="0.3">
      <c r="A87" t="s">
        <v>281</v>
      </c>
      <c r="C87" t="s">
        <v>282</v>
      </c>
      <c r="D87" t="s">
        <v>283</v>
      </c>
      <c r="E87" t="e">
        <f>VLOOKUP(C87,'[1]Outreach Tracker'!$D:$D,1,0)</f>
        <v>#N/A</v>
      </c>
    </row>
    <row r="88" spans="1:5" x14ac:dyDescent="0.3">
      <c r="A88" t="s">
        <v>284</v>
      </c>
      <c r="C88" t="s">
        <v>285</v>
      </c>
      <c r="D88" t="s">
        <v>286</v>
      </c>
      <c r="E88" t="e">
        <f>VLOOKUP(C88,'[1]Outreach Tracker'!$D:$D,1,0)</f>
        <v>#N/A</v>
      </c>
    </row>
    <row r="89" spans="1:5" x14ac:dyDescent="0.3">
      <c r="A89" t="s">
        <v>287</v>
      </c>
      <c r="B89" t="s">
        <v>288</v>
      </c>
      <c r="C89" t="s">
        <v>289</v>
      </c>
      <c r="D89" t="s">
        <v>290</v>
      </c>
      <c r="E89" t="e">
        <f>VLOOKUP(C89,'[1]Outreach Tracker'!$D:$D,1,0)</f>
        <v>#N/A</v>
      </c>
    </row>
    <row r="90" spans="1:5" x14ac:dyDescent="0.3">
      <c r="A90" t="s">
        <v>291</v>
      </c>
      <c r="C90" t="s">
        <v>292</v>
      </c>
      <c r="D90" t="s">
        <v>293</v>
      </c>
      <c r="E90" t="e">
        <f>VLOOKUP(C90,'[1]Outreach Tracker'!$D:$D,1,0)</f>
        <v>#N/A</v>
      </c>
    </row>
    <row r="91" spans="1:5" x14ac:dyDescent="0.3">
      <c r="A91" t="s">
        <v>294</v>
      </c>
      <c r="C91" t="s">
        <v>295</v>
      </c>
      <c r="D91" t="s">
        <v>296</v>
      </c>
      <c r="E91" t="e">
        <f>VLOOKUP(C91,'[1]Outreach Tracker'!$D:$D,1,0)</f>
        <v>#N/A</v>
      </c>
    </row>
    <row r="92" spans="1:5" x14ac:dyDescent="0.3">
      <c r="A92" t="s">
        <v>297</v>
      </c>
      <c r="C92" t="s">
        <v>298</v>
      </c>
      <c r="D92" t="s">
        <v>299</v>
      </c>
      <c r="E92" t="e">
        <f>VLOOKUP(C92,'[1]Outreach Tracker'!$D:$D,1,0)</f>
        <v>#N/A</v>
      </c>
    </row>
    <row r="93" spans="1:5" x14ac:dyDescent="0.3">
      <c r="A93" t="s">
        <v>300</v>
      </c>
      <c r="C93" t="s">
        <v>301</v>
      </c>
      <c r="D93" t="s">
        <v>302</v>
      </c>
      <c r="E93" t="str">
        <f>VLOOKUP(C93,'[1]Outreach Tracker'!$D:$D,1,0)</f>
        <v>info@vicandals.com</v>
      </c>
    </row>
    <row r="99" spans="1:1" x14ac:dyDescent="0.3">
      <c r="A99">
        <v>23.25</v>
      </c>
    </row>
  </sheetData>
  <autoFilter ref="A1:E93" xr:uid="{436051C2-C5D7-463D-89A5-3033C935D4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austin-restaurants-final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modified xsi:type="dcterms:W3CDTF">2026-04-10T12:43:06Z</dcterms:modified>
</cp:coreProperties>
</file>